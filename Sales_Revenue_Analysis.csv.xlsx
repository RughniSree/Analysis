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ughni Sree\Desktop\"/>
    </mc:Choice>
  </mc:AlternateContent>
  <xr:revisionPtr revIDLastSave="0" documentId="13_ncr:1_{E214AA6D-78BE-4501-B648-37B3C57E8DA8}" xr6:coauthVersionLast="47" xr6:coauthVersionMax="47" xr10:uidLastSave="{00000000-0000-0000-0000-000000000000}"/>
  <bookViews>
    <workbookView xWindow="-108" yWindow="-108" windowWidth="23256" windowHeight="12456" activeTab="1" xr2:uid="{D123B1FF-AC41-4E5E-936C-C9F8DC999824}"/>
  </bookViews>
  <sheets>
    <sheet name="Sales_Revenue_Dataset" sheetId="1" r:id="rId1"/>
    <sheet name="Sheet1" sheetId="3" r:id="rId2"/>
    <sheet name="Dashboard" sheetId="2" r:id="rId3"/>
  </sheets>
  <definedNames>
    <definedName name="Slicer_Category">#N/A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7" i="2" l="1"/>
  <c r="B20" i="2"/>
  <c r="B1" i="2"/>
</calcChain>
</file>

<file path=xl/sharedStrings.xml><?xml version="1.0" encoding="utf-8"?>
<sst xmlns="http://schemas.openxmlformats.org/spreadsheetml/2006/main" count="232" uniqueCount="26">
  <si>
    <t>Date</t>
  </si>
  <si>
    <t>Product</t>
  </si>
  <si>
    <t>Category</t>
  </si>
  <si>
    <t>Quantity</t>
  </si>
  <si>
    <t>Unit Price</t>
  </si>
  <si>
    <t>Revenue</t>
  </si>
  <si>
    <t>Laptop</t>
  </si>
  <si>
    <t>Electronics</t>
  </si>
  <si>
    <t>Mouse</t>
  </si>
  <si>
    <t>Accessories</t>
  </si>
  <si>
    <t>Keyboard</t>
  </si>
  <si>
    <t>Monitor</t>
  </si>
  <si>
    <t>Printer</t>
  </si>
  <si>
    <t>Headphones</t>
  </si>
  <si>
    <t>Webcam</t>
  </si>
  <si>
    <t>Speaker</t>
  </si>
  <si>
    <t>SSD</t>
  </si>
  <si>
    <t>Router</t>
  </si>
  <si>
    <t>Total Revenue</t>
  </si>
  <si>
    <t>Total Units Sold</t>
  </si>
  <si>
    <t>Transactions</t>
  </si>
  <si>
    <t>Row Labels</t>
  </si>
  <si>
    <t>Grand Total</t>
  </si>
  <si>
    <t>Jan</t>
  </si>
  <si>
    <t>Feb</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</si>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</sst>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[Sales_Revenue_Analysis.csv.xlsx]Sheet1!PivotTable1</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Sheet1!$B$3</c:f>
              <c:strCache>
                <c:ptCount val="1"/>
                <c:pt idx="0">
                  <c:v>Total</c:v>
                </c:pt>
              </c:strCache>
            </c:strRef>
          </c:tx>
          <c:spPr>
            <a:solidFill>
              <a:schemeClr val="accent1"/>
            </a:solidFill>
            <a:ln>
              <a:noFill/>
            </a:ln>
            <a:effectLst/>
            <a:sp3d/>
          </c:spPr>
          <c:cat>
            <c:strRef>
              <c:f>Sheet1!$A$4:$A$6</c:f>
              <c:strCache>
                <c:ptCount val="2"/>
                <c:pt idx="0">
                  <c:v>Jan</c:v>
                </c:pt>
                <c:pt idx="1">
                  <c:v>Feb</c:v>
                </c:pt>
              </c:strCache>
            </c:strRef>
          </c:cat>
          <c:val>
            <c:numRef>
              <c:f>Sheet1!$B$4:$B$6</c:f>
              <c:numCache>
                <c:formatCode>General</c:formatCode>
                <c:ptCount val="2"/>
                <c:pt idx="0">
                  <c:v>2218000</c:v>
                </c:pt>
                <c:pt idx="1">
                  <c:v>1185000</c:v>
                </c:pt>
              </c:numCache>
            </c:numRef>
          </c:val>
          <c:smooth val="0"/>
          <c:extLst>
            <c:ext xmlns:c16="http://schemas.microsoft.com/office/drawing/2014/chart" uri="{C3380CC4-5D6E-409C-BE32-E72D297353CC}">
              <c16:uniqueId val="{00000000-60C2-409C-85C1-676A73747361}"/>
            </c:ext>
          </c:extLst>
        </c:ser>
        <c:dLbls>
          <c:showLegendKey val="0"/>
          <c:showVal val="0"/>
          <c:showCatName val="0"/>
          <c:showSerName val="0"/>
          <c:showPercent val="0"/>
          <c:showBubbleSize val="0"/>
        </c:dLbls>
        <c:axId val="1449489520"/>
        <c:axId val="1449491920"/>
        <c:axId val="1707654240"/>
      </c:line3DChart>
      <c:catAx>
        <c:axId val="144948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491920"/>
        <c:crosses val="autoZero"/>
        <c:auto val="1"/>
        <c:lblAlgn val="ctr"/>
        <c:lblOffset val="100"/>
        <c:noMultiLvlLbl val="0"/>
      </c:catAx>
      <c:valAx>
        <c:axId val="144949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489520"/>
        <c:crosses val="autoZero"/>
        <c:crossBetween val="between"/>
      </c:valAx>
      <c:serAx>
        <c:axId val="170765424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4919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[Sales_Revenue_Analysis.csv.xlsx]Sheet1!PivotTable2</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Sheet1!$A$10:$A$20</c:f>
              <c:strCache>
                <c:ptCount val="10"/>
                <c:pt idx="0">
                  <c:v>Headphones</c:v>
                </c:pt>
                <c:pt idx="1">
                  <c:v>Keyboard</c:v>
                </c:pt>
                <c:pt idx="2">
                  <c:v>Laptop</c:v>
                </c:pt>
                <c:pt idx="3">
                  <c:v>Monitor</c:v>
                </c:pt>
                <c:pt idx="4">
                  <c:v>Mouse</c:v>
                </c:pt>
                <c:pt idx="5">
                  <c:v>Printer</c:v>
                </c:pt>
                <c:pt idx="6">
                  <c:v>Router</c:v>
                </c:pt>
                <c:pt idx="7">
                  <c:v>Speaker</c:v>
                </c:pt>
                <c:pt idx="8">
                  <c:v>SSD</c:v>
                </c:pt>
                <c:pt idx="9">
                  <c:v>Webcam</c:v>
                </c:pt>
              </c:strCache>
            </c:strRef>
          </c:cat>
          <c:val>
            <c:numRef>
              <c:f>Sheet1!$B$10:$B$20</c:f>
              <c:numCache>
                <c:formatCode>General</c:formatCode>
                <c:ptCount val="10"/>
                <c:pt idx="0">
                  <c:v>81000</c:v>
                </c:pt>
                <c:pt idx="1">
                  <c:v>40000</c:v>
                </c:pt>
                <c:pt idx="2">
                  <c:v>1800000</c:v>
                </c:pt>
                <c:pt idx="3">
                  <c:v>600000</c:v>
                </c:pt>
                <c:pt idx="4">
                  <c:v>23000</c:v>
                </c:pt>
                <c:pt idx="5">
                  <c:v>352000</c:v>
                </c:pt>
                <c:pt idx="6">
                  <c:v>115000</c:v>
                </c:pt>
                <c:pt idx="7">
                  <c:v>150000</c:v>
                </c:pt>
                <c:pt idx="8">
                  <c:v>162000</c:v>
                </c:pt>
                <c:pt idx="9">
                  <c:v>80000</c:v>
                </c:pt>
              </c:numCache>
            </c:numRef>
          </c:val>
          <c:extLst>
            <c:ext xmlns:c16="http://schemas.microsoft.com/office/drawing/2014/chart" uri="{C3380CC4-5D6E-409C-BE32-E72D297353CC}">
              <c16:uniqueId val="{00000000-032E-49FB-A544-AE0B86BCA92A}"/>
            </c:ext>
          </c:extLst>
        </c:ser>
        <c:dLbls>
          <c:showLegendKey val="0"/>
          <c:showVal val="1"/>
          <c:showCatName val="0"/>
          <c:showSerName val="0"/>
          <c:showPercent val="0"/>
          <c:showBubbleSize val="0"/>
        </c:dLbls>
        <c:gapWidth val="150"/>
        <c:shape val="box"/>
        <c:axId val="1449528400"/>
        <c:axId val="1449530320"/>
        <c:axId val="1484665904"/>
      </c:bar3DChart>
      <c:catAx>
        <c:axId val="144952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530320"/>
        <c:crosses val="autoZero"/>
        <c:auto val="1"/>
        <c:lblAlgn val="ctr"/>
        <c:lblOffset val="100"/>
        <c:noMultiLvlLbl val="0"/>
      </c:catAx>
      <c:valAx>
        <c:axId val="144953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528400"/>
        <c:crosses val="autoZero"/>
        <c:crossBetween val="between"/>
      </c:valAx>
      <c:serAx>
        <c:axId val="14846659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5303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[Sales_Revenue_Analysis.csv.xlsx]Sheet1!PivotTable3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Sheet1!$B$23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C7B-4392-993B-00718E5B96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C7B-4392-993B-00718E5B96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Sheet1!$A$24:$A$26</c:f>
              <c:strCache>
                <c:ptCount val="2"/>
                <c:pt idx="0">
                  <c:v>Accessories</c:v>
                </c:pt>
                <c:pt idx="1">
                  <c:v>Electronics</c:v>
                </c:pt>
              </c:strCache>
            </c:strRef>
          </c:cat>
          <c:val>
            <c:numRef>
              <c:f>Sheet1!$B$24:$B$26</c:f>
              <c:numCache>
                <c:formatCode>General</c:formatCode>
                <c:ptCount val="2"/>
                <c:pt idx="0">
                  <c:v>374000</c:v>
                </c:pt>
                <c:pt idx="1">
                  <c:v>3029000</c:v>
                </c:pt>
              </c:numCache>
            </c:numRef>
          </c:val>
          <c:extLst>
            <c:ext xmlns:c16="http://schemas.microsoft.com/office/drawing/2014/chart" uri="{C3380CC4-5D6E-409C-BE32-E72D297353CC}">
              <c16:uniqueId val="{00000004-CC7B-4392-993B-00718E5B962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xdr:row>
      <xdr:rowOff>38100</xdr:rowOff>
    </xdr:from>
    <xdr:to>
      <xdr:col>7</xdr:col>
      <xdr:colOff>0</xdr:colOff>
      <xdr:row>19</xdr:row>
      <xdr:rowOff>127635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E669B29F-4A88-4DB4-8159-98E9D922DC1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101340" y="1135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144780</xdr:colOff>
      <xdr:row>6</xdr:row>
      <xdr:rowOff>0</xdr:rowOff>
    </xdr:from>
    <xdr:to>
      <xdr:col>11</xdr:col>
      <xdr:colOff>144780</xdr:colOff>
      <xdr:row>19</xdr:row>
      <xdr:rowOff>89535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1F32B51-D28E-4555-9D30-37F4A7397D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8452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0</xdr:row>
      <xdr:rowOff>129540</xdr:rowOff>
    </xdr:from>
    <xdr:to>
      <xdr:col>10</xdr:col>
      <xdr:colOff>327660</xdr:colOff>
      <xdr:row>15</xdr:row>
      <xdr:rowOff>129540</xdr:rowOff>
    </xdr:to>
    <xdr:graphicFrame macro="">
      <xdr:nvGraphicFramePr>
        <xdr:cNvPr id="2" name="Chart 1">
          <a:extLst>
            <a:ext uri="{FF2B5EF4-FFF2-40B4-BE49-F238E27FC236}">
              <a16:creationId xmlns:a16="http://schemas.microsoft.com/office/drawing/2014/main" id="{E759BBEA-DCEE-4B54-BE9C-4FE479A0E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18</xdr:row>
      <xdr:rowOff>30480</xdr:rowOff>
    </xdr:from>
    <xdr:to>
      <xdr:col>10</xdr:col>
      <xdr:colOff>327660</xdr:colOff>
      <xdr:row>33</xdr:row>
      <xdr:rowOff>30480</xdr:rowOff>
    </xdr:to>
    <xdr:graphicFrame macro="">
      <xdr:nvGraphicFramePr>
        <xdr:cNvPr id="3" name="Chart 2">
          <a:extLst>
            <a:ext uri="{FF2B5EF4-FFF2-40B4-BE49-F238E27FC236}">
              <a16:creationId xmlns:a16="http://schemas.microsoft.com/office/drawing/2014/main" id="{C0AD1550-C44D-4579-97BD-461948BA7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601980</xdr:colOff>
      <xdr:row>35</xdr:row>
      <xdr:rowOff>22860</xdr:rowOff>
    </xdr:from>
    <xdr:to>
      <xdr:col>10</xdr:col>
      <xdr:colOff>297180</xdr:colOff>
      <xdr:row>50</xdr:row>
      <xdr:rowOff>22860</xdr:rowOff>
    </xdr:to>
    <xdr:graphicFrame macro="">
      <xdr:nvGraphicFramePr>
        <xdr:cNvPr id="4" name="Chart 3">
          <a:extLst>
            <a:ext uri="{FF2B5EF4-FFF2-40B4-BE49-F238E27FC236}">
              <a16:creationId xmlns:a16="http://schemas.microsoft.com/office/drawing/2014/main" id="{BD7B958A-7CDA-4FF9-8960-C0BEE6076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ghnisree S.B" refreshedDate="46181.567596643516" createdVersion="8" refreshedVersion="8" minRefreshableVersion="3" recordCount="100" xr:uid="{A4059112-0492-4FD2-A545-F8AE6D467058}">
  <cacheSource type="worksheet">
    <worksheetSource name="Table1"/>
  </cacheSource>
  <cacheFields count="8">
    <cacheField name="Date" numFmtId="15">
      <sharedItems containsSemiMixedTypes="0" containsNonDate="0" containsDate="1" containsString="0" minDate="2026-01-01T00:00:00" maxDate="2026-02-20T00:00:00" count="5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sharedItems>
      <fieldGroup par="7"/>
    </cacheField>
    <cacheField name="Product" numFmtId="0">
      <sharedItems count="10">
        <s v="Laptop"/>
        <s v="Mouse"/>
        <s v="Keyboard"/>
        <s v="Monitor"/>
        <s v="Printer"/>
        <s v="Headphones"/>
        <s v="Webcam"/>
        <s v="Speaker"/>
        <s v="SSD"/>
        <s v="Router"/>
      </sharedItems>
    </cacheField>
    <cacheField name="Category" numFmtId="0">
      <sharedItems count="2">
        <s v="Electronics"/>
        <s v="Accessories"/>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500" maxValue="50000"/>
    </cacheField>
    <cacheField name="Revenue" numFmtId="0">
      <sharedItems containsSemiMixedTypes="0" containsString="0" containsNumber="1" containsInteger="1" minValue="1000" maxValue="350000"/>
    </cacheField>
    <cacheField name="Days (Date)" numFmtId="0" databaseField="0">
      <fieldGroup base="0">
        <rangePr groupBy="days" startDate="2026-01-01T00:00:00" endDate="2026-02-20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02-2026"/>
        </groupItems>
      </fieldGroup>
    </cacheField>
    <cacheField name="Months (Date)" numFmtId="0" databaseField="0">
      <fieldGroup base="0">
        <rangePr groupBy="months" startDate="2026-01-01T00:00:00" endDate="2026-02-20T00:00:00"/>
        <groupItems count="14">
          <s v="&lt;01-01-2026"/>
          <s v="Jan"/>
          <s v="Feb"/>
          <s v="Mar"/>
          <s v="Apr"/>
          <s v="May"/>
          <s v="Jun"/>
          <s v="Jul"/>
          <s v="Aug"/>
          <s v="Sep"/>
          <s v="Oct"/>
          <s v="Nov"/>
          <s v="Dec"/>
          <s v="&gt;20-02-2026"/>
        </groupItems>
      </fieldGroup>
    </cacheField>
  </cacheFields>
  <extLst>
    <ext xmlns:x14="http://schemas.microsoft.com/office/spreadsheetml/2009/9/main" uri="{725AE2AE-9491-48be-B2B4-4EB974FC3084}">
      <x14:pivotCacheDefinition pivotCacheId="1221656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1"/>
    <n v="50000"/>
    <n v="50000"/>
  </r>
  <r>
    <x v="0"/>
    <x v="1"/>
    <x v="1"/>
    <n v="2"/>
    <n v="500"/>
    <n v="1000"/>
  </r>
  <r>
    <x v="1"/>
    <x v="2"/>
    <x v="1"/>
    <n v="3"/>
    <n v="1000"/>
    <n v="3000"/>
  </r>
  <r>
    <x v="1"/>
    <x v="3"/>
    <x v="0"/>
    <n v="4"/>
    <n v="12000"/>
    <n v="48000"/>
  </r>
  <r>
    <x v="2"/>
    <x v="4"/>
    <x v="0"/>
    <n v="5"/>
    <n v="8000"/>
    <n v="40000"/>
  </r>
  <r>
    <x v="2"/>
    <x v="5"/>
    <x v="1"/>
    <n v="6"/>
    <n v="1500"/>
    <n v="9000"/>
  </r>
  <r>
    <x v="3"/>
    <x v="6"/>
    <x v="1"/>
    <n v="7"/>
    <n v="2000"/>
    <n v="14000"/>
  </r>
  <r>
    <x v="3"/>
    <x v="7"/>
    <x v="1"/>
    <n v="8"/>
    <n v="3000"/>
    <n v="24000"/>
  </r>
  <r>
    <x v="4"/>
    <x v="8"/>
    <x v="0"/>
    <n v="1"/>
    <n v="4500"/>
    <n v="4500"/>
  </r>
  <r>
    <x v="4"/>
    <x v="9"/>
    <x v="0"/>
    <n v="2"/>
    <n v="2500"/>
    <n v="5000"/>
  </r>
  <r>
    <x v="5"/>
    <x v="0"/>
    <x v="0"/>
    <n v="3"/>
    <n v="50000"/>
    <n v="150000"/>
  </r>
  <r>
    <x v="5"/>
    <x v="1"/>
    <x v="1"/>
    <n v="4"/>
    <n v="500"/>
    <n v="2000"/>
  </r>
  <r>
    <x v="6"/>
    <x v="2"/>
    <x v="1"/>
    <n v="5"/>
    <n v="1000"/>
    <n v="5000"/>
  </r>
  <r>
    <x v="6"/>
    <x v="3"/>
    <x v="0"/>
    <n v="6"/>
    <n v="12000"/>
    <n v="72000"/>
  </r>
  <r>
    <x v="7"/>
    <x v="4"/>
    <x v="0"/>
    <n v="7"/>
    <n v="8000"/>
    <n v="56000"/>
  </r>
  <r>
    <x v="7"/>
    <x v="5"/>
    <x v="1"/>
    <n v="8"/>
    <n v="1500"/>
    <n v="12000"/>
  </r>
  <r>
    <x v="8"/>
    <x v="6"/>
    <x v="1"/>
    <n v="1"/>
    <n v="2000"/>
    <n v="2000"/>
  </r>
  <r>
    <x v="8"/>
    <x v="7"/>
    <x v="1"/>
    <n v="2"/>
    <n v="3000"/>
    <n v="6000"/>
  </r>
  <r>
    <x v="9"/>
    <x v="8"/>
    <x v="0"/>
    <n v="3"/>
    <n v="4500"/>
    <n v="13500"/>
  </r>
  <r>
    <x v="9"/>
    <x v="9"/>
    <x v="0"/>
    <n v="4"/>
    <n v="2500"/>
    <n v="10000"/>
  </r>
  <r>
    <x v="10"/>
    <x v="0"/>
    <x v="0"/>
    <n v="5"/>
    <n v="50000"/>
    <n v="250000"/>
  </r>
  <r>
    <x v="10"/>
    <x v="1"/>
    <x v="1"/>
    <n v="6"/>
    <n v="500"/>
    <n v="3000"/>
  </r>
  <r>
    <x v="11"/>
    <x v="2"/>
    <x v="1"/>
    <n v="7"/>
    <n v="1000"/>
    <n v="7000"/>
  </r>
  <r>
    <x v="11"/>
    <x v="3"/>
    <x v="0"/>
    <n v="8"/>
    <n v="12000"/>
    <n v="96000"/>
  </r>
  <r>
    <x v="12"/>
    <x v="4"/>
    <x v="0"/>
    <n v="1"/>
    <n v="8000"/>
    <n v="8000"/>
  </r>
  <r>
    <x v="12"/>
    <x v="5"/>
    <x v="1"/>
    <n v="2"/>
    <n v="1500"/>
    <n v="3000"/>
  </r>
  <r>
    <x v="13"/>
    <x v="6"/>
    <x v="1"/>
    <n v="3"/>
    <n v="2000"/>
    <n v="6000"/>
  </r>
  <r>
    <x v="13"/>
    <x v="7"/>
    <x v="1"/>
    <n v="4"/>
    <n v="3000"/>
    <n v="12000"/>
  </r>
  <r>
    <x v="14"/>
    <x v="8"/>
    <x v="0"/>
    <n v="5"/>
    <n v="4500"/>
    <n v="22500"/>
  </r>
  <r>
    <x v="14"/>
    <x v="9"/>
    <x v="0"/>
    <n v="6"/>
    <n v="2500"/>
    <n v="15000"/>
  </r>
  <r>
    <x v="15"/>
    <x v="0"/>
    <x v="0"/>
    <n v="7"/>
    <n v="50000"/>
    <n v="350000"/>
  </r>
  <r>
    <x v="15"/>
    <x v="1"/>
    <x v="1"/>
    <n v="8"/>
    <n v="500"/>
    <n v="4000"/>
  </r>
  <r>
    <x v="16"/>
    <x v="2"/>
    <x v="1"/>
    <n v="1"/>
    <n v="1000"/>
    <n v="1000"/>
  </r>
  <r>
    <x v="16"/>
    <x v="3"/>
    <x v="0"/>
    <n v="2"/>
    <n v="12000"/>
    <n v="24000"/>
  </r>
  <r>
    <x v="17"/>
    <x v="4"/>
    <x v="0"/>
    <n v="3"/>
    <n v="8000"/>
    <n v="24000"/>
  </r>
  <r>
    <x v="17"/>
    <x v="5"/>
    <x v="1"/>
    <n v="4"/>
    <n v="1500"/>
    <n v="6000"/>
  </r>
  <r>
    <x v="18"/>
    <x v="6"/>
    <x v="1"/>
    <n v="5"/>
    <n v="2000"/>
    <n v="10000"/>
  </r>
  <r>
    <x v="18"/>
    <x v="7"/>
    <x v="1"/>
    <n v="6"/>
    <n v="3000"/>
    <n v="18000"/>
  </r>
  <r>
    <x v="19"/>
    <x v="8"/>
    <x v="0"/>
    <n v="7"/>
    <n v="4500"/>
    <n v="31500"/>
  </r>
  <r>
    <x v="19"/>
    <x v="9"/>
    <x v="0"/>
    <n v="8"/>
    <n v="2500"/>
    <n v="20000"/>
  </r>
  <r>
    <x v="20"/>
    <x v="0"/>
    <x v="0"/>
    <n v="1"/>
    <n v="50000"/>
    <n v="50000"/>
  </r>
  <r>
    <x v="20"/>
    <x v="1"/>
    <x v="1"/>
    <n v="2"/>
    <n v="500"/>
    <n v="1000"/>
  </r>
  <r>
    <x v="21"/>
    <x v="2"/>
    <x v="1"/>
    <n v="3"/>
    <n v="1000"/>
    <n v="3000"/>
  </r>
  <r>
    <x v="21"/>
    <x v="3"/>
    <x v="0"/>
    <n v="4"/>
    <n v="12000"/>
    <n v="48000"/>
  </r>
  <r>
    <x v="22"/>
    <x v="4"/>
    <x v="0"/>
    <n v="5"/>
    <n v="8000"/>
    <n v="40000"/>
  </r>
  <r>
    <x v="22"/>
    <x v="5"/>
    <x v="1"/>
    <n v="6"/>
    <n v="1500"/>
    <n v="9000"/>
  </r>
  <r>
    <x v="23"/>
    <x v="6"/>
    <x v="1"/>
    <n v="7"/>
    <n v="2000"/>
    <n v="14000"/>
  </r>
  <r>
    <x v="23"/>
    <x v="7"/>
    <x v="1"/>
    <n v="8"/>
    <n v="3000"/>
    <n v="24000"/>
  </r>
  <r>
    <x v="24"/>
    <x v="8"/>
    <x v="0"/>
    <n v="1"/>
    <n v="4500"/>
    <n v="4500"/>
  </r>
  <r>
    <x v="24"/>
    <x v="9"/>
    <x v="0"/>
    <n v="2"/>
    <n v="2500"/>
    <n v="5000"/>
  </r>
  <r>
    <x v="25"/>
    <x v="0"/>
    <x v="0"/>
    <n v="3"/>
    <n v="50000"/>
    <n v="150000"/>
  </r>
  <r>
    <x v="25"/>
    <x v="1"/>
    <x v="1"/>
    <n v="4"/>
    <n v="500"/>
    <n v="2000"/>
  </r>
  <r>
    <x v="26"/>
    <x v="2"/>
    <x v="1"/>
    <n v="5"/>
    <n v="1000"/>
    <n v="5000"/>
  </r>
  <r>
    <x v="26"/>
    <x v="3"/>
    <x v="0"/>
    <n v="6"/>
    <n v="12000"/>
    <n v="72000"/>
  </r>
  <r>
    <x v="27"/>
    <x v="4"/>
    <x v="0"/>
    <n v="7"/>
    <n v="8000"/>
    <n v="56000"/>
  </r>
  <r>
    <x v="27"/>
    <x v="5"/>
    <x v="1"/>
    <n v="8"/>
    <n v="1500"/>
    <n v="12000"/>
  </r>
  <r>
    <x v="28"/>
    <x v="6"/>
    <x v="1"/>
    <n v="1"/>
    <n v="2000"/>
    <n v="2000"/>
  </r>
  <r>
    <x v="28"/>
    <x v="7"/>
    <x v="1"/>
    <n v="2"/>
    <n v="3000"/>
    <n v="6000"/>
  </r>
  <r>
    <x v="29"/>
    <x v="8"/>
    <x v="0"/>
    <n v="3"/>
    <n v="4500"/>
    <n v="13500"/>
  </r>
  <r>
    <x v="29"/>
    <x v="9"/>
    <x v="0"/>
    <n v="4"/>
    <n v="2500"/>
    <n v="10000"/>
  </r>
  <r>
    <x v="30"/>
    <x v="0"/>
    <x v="0"/>
    <n v="5"/>
    <n v="50000"/>
    <n v="250000"/>
  </r>
  <r>
    <x v="30"/>
    <x v="1"/>
    <x v="1"/>
    <n v="6"/>
    <n v="500"/>
    <n v="3000"/>
  </r>
  <r>
    <x v="31"/>
    <x v="2"/>
    <x v="1"/>
    <n v="7"/>
    <n v="1000"/>
    <n v="7000"/>
  </r>
  <r>
    <x v="31"/>
    <x v="3"/>
    <x v="0"/>
    <n v="8"/>
    <n v="12000"/>
    <n v="96000"/>
  </r>
  <r>
    <x v="32"/>
    <x v="4"/>
    <x v="0"/>
    <n v="1"/>
    <n v="8000"/>
    <n v="8000"/>
  </r>
  <r>
    <x v="32"/>
    <x v="5"/>
    <x v="1"/>
    <n v="2"/>
    <n v="1500"/>
    <n v="3000"/>
  </r>
  <r>
    <x v="33"/>
    <x v="6"/>
    <x v="1"/>
    <n v="3"/>
    <n v="2000"/>
    <n v="6000"/>
  </r>
  <r>
    <x v="33"/>
    <x v="7"/>
    <x v="1"/>
    <n v="4"/>
    <n v="3000"/>
    <n v="12000"/>
  </r>
  <r>
    <x v="34"/>
    <x v="8"/>
    <x v="0"/>
    <n v="5"/>
    <n v="4500"/>
    <n v="22500"/>
  </r>
  <r>
    <x v="34"/>
    <x v="9"/>
    <x v="0"/>
    <n v="6"/>
    <n v="2500"/>
    <n v="15000"/>
  </r>
  <r>
    <x v="35"/>
    <x v="0"/>
    <x v="0"/>
    <n v="7"/>
    <n v="50000"/>
    <n v="350000"/>
  </r>
  <r>
    <x v="35"/>
    <x v="1"/>
    <x v="1"/>
    <n v="8"/>
    <n v="500"/>
    <n v="4000"/>
  </r>
  <r>
    <x v="36"/>
    <x v="2"/>
    <x v="1"/>
    <n v="1"/>
    <n v="1000"/>
    <n v="1000"/>
  </r>
  <r>
    <x v="36"/>
    <x v="3"/>
    <x v="0"/>
    <n v="2"/>
    <n v="12000"/>
    <n v="24000"/>
  </r>
  <r>
    <x v="37"/>
    <x v="4"/>
    <x v="0"/>
    <n v="3"/>
    <n v="8000"/>
    <n v="24000"/>
  </r>
  <r>
    <x v="37"/>
    <x v="5"/>
    <x v="1"/>
    <n v="4"/>
    <n v="1500"/>
    <n v="6000"/>
  </r>
  <r>
    <x v="38"/>
    <x v="6"/>
    <x v="1"/>
    <n v="5"/>
    <n v="2000"/>
    <n v="10000"/>
  </r>
  <r>
    <x v="38"/>
    <x v="7"/>
    <x v="1"/>
    <n v="6"/>
    <n v="3000"/>
    <n v="18000"/>
  </r>
  <r>
    <x v="39"/>
    <x v="8"/>
    <x v="0"/>
    <n v="7"/>
    <n v="4500"/>
    <n v="31500"/>
  </r>
  <r>
    <x v="39"/>
    <x v="9"/>
    <x v="0"/>
    <n v="8"/>
    <n v="2500"/>
    <n v="20000"/>
  </r>
  <r>
    <x v="40"/>
    <x v="0"/>
    <x v="0"/>
    <n v="1"/>
    <n v="50000"/>
    <n v="50000"/>
  </r>
  <r>
    <x v="40"/>
    <x v="1"/>
    <x v="1"/>
    <n v="2"/>
    <n v="500"/>
    <n v="1000"/>
  </r>
  <r>
    <x v="41"/>
    <x v="2"/>
    <x v="1"/>
    <n v="3"/>
    <n v="1000"/>
    <n v="3000"/>
  </r>
  <r>
    <x v="41"/>
    <x v="3"/>
    <x v="0"/>
    <n v="4"/>
    <n v="12000"/>
    <n v="48000"/>
  </r>
  <r>
    <x v="42"/>
    <x v="4"/>
    <x v="0"/>
    <n v="5"/>
    <n v="8000"/>
    <n v="40000"/>
  </r>
  <r>
    <x v="42"/>
    <x v="5"/>
    <x v="1"/>
    <n v="6"/>
    <n v="1500"/>
    <n v="9000"/>
  </r>
  <r>
    <x v="43"/>
    <x v="6"/>
    <x v="1"/>
    <n v="7"/>
    <n v="2000"/>
    <n v="14000"/>
  </r>
  <r>
    <x v="43"/>
    <x v="7"/>
    <x v="1"/>
    <n v="8"/>
    <n v="3000"/>
    <n v="24000"/>
  </r>
  <r>
    <x v="44"/>
    <x v="8"/>
    <x v="0"/>
    <n v="1"/>
    <n v="4500"/>
    <n v="4500"/>
  </r>
  <r>
    <x v="44"/>
    <x v="9"/>
    <x v="0"/>
    <n v="2"/>
    <n v="2500"/>
    <n v="5000"/>
  </r>
  <r>
    <x v="45"/>
    <x v="0"/>
    <x v="0"/>
    <n v="3"/>
    <n v="50000"/>
    <n v="150000"/>
  </r>
  <r>
    <x v="45"/>
    <x v="1"/>
    <x v="1"/>
    <n v="4"/>
    <n v="500"/>
    <n v="2000"/>
  </r>
  <r>
    <x v="46"/>
    <x v="2"/>
    <x v="1"/>
    <n v="5"/>
    <n v="1000"/>
    <n v="5000"/>
  </r>
  <r>
    <x v="46"/>
    <x v="3"/>
    <x v="0"/>
    <n v="6"/>
    <n v="12000"/>
    <n v="72000"/>
  </r>
  <r>
    <x v="47"/>
    <x v="4"/>
    <x v="0"/>
    <n v="7"/>
    <n v="8000"/>
    <n v="56000"/>
  </r>
  <r>
    <x v="47"/>
    <x v="5"/>
    <x v="1"/>
    <n v="8"/>
    <n v="1500"/>
    <n v="12000"/>
  </r>
  <r>
    <x v="48"/>
    <x v="6"/>
    <x v="1"/>
    <n v="1"/>
    <n v="2000"/>
    <n v="2000"/>
  </r>
  <r>
    <x v="48"/>
    <x v="7"/>
    <x v="1"/>
    <n v="2"/>
    <n v="3000"/>
    <n v="6000"/>
  </r>
  <r>
    <x v="49"/>
    <x v="8"/>
    <x v="0"/>
    <n v="3"/>
    <n v="4500"/>
    <n v="13500"/>
  </r>
  <r>
    <x v="49"/>
    <x v="9"/>
    <x v="0"/>
    <n v="4"/>
    <n v="2500"/>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0AB7FD-D943-45AD-820A-D51B5FE0B1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9:B20" firstHeaderRow="1" firstDataRow="1" firstDataCol="1"/>
  <pivotFields count="8">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11">
        <item x="5"/>
        <item x="2"/>
        <item x="0"/>
        <item x="3"/>
        <item x="1"/>
        <item x="4"/>
        <item x="9"/>
        <item x="7"/>
        <item x="8"/>
        <item x="6"/>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Items count="1">
    <i/>
  </colItems>
  <dataFields count="1">
    <dataField name="Sum of Revenue"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7EA4C5-45B2-4736-A4FA-1E0DA5EF29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6" firstHeaderRow="1" firstDataRow="1" firstDataCol="1"/>
  <pivotFields count="8">
    <pivotField axis="axisRow"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0"/>
  </rowFields>
  <rowItems count="3">
    <i>
      <x v="1"/>
    </i>
    <i>
      <x v="2"/>
    </i>
    <i t="grand">
      <x/>
    </i>
  </rowItems>
  <colItems count="1">
    <i/>
  </colItems>
  <dataFields count="1">
    <dataField name="Sum of Revenue" fld="5" baseField="0" baseItem="0"/>
  </dataField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933D64-70BD-4BA6-B93D-ACFBEADAEA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26" firstHeaderRow="1" firstDataRow="1" firstDataCol="1"/>
  <pivotFields count="8">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3">
        <item x="1"/>
        <item x="0"/>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3">
    <i>
      <x/>
    </i>
    <i>
      <x v="1"/>
    </i>
    <i t="grand">
      <x/>
    </i>
  </rowItems>
  <colItems count="1">
    <i/>
  </colItems>
  <dataFields count="1">
    <dataField name="Sum of Revenue" fld="5"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DB22F6F-3CBC-408E-B7D5-E46EA759929F}" sourceName="Product">
  <pivotTables>
    <pivotTable tabId="3" name="PivotTable2"/>
  </pivotTables>
  <data>
    <tabular pivotCacheId="1221656638">
      <items count="10">
        <i x="5" s="1"/>
        <i x="2" s="1"/>
        <i x="0" s="1"/>
        <i x="3" s="1"/>
        <i x="1" s="1"/>
        <i x="4" s="1"/>
        <i x="9" s="1"/>
        <i x="7" s="1"/>
        <i x="8"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904036D-8CEC-41EC-91B4-7B9A1CC6D8B1}" sourceName="Category">
  <pivotTables>
    <pivotTable tabId="3" name="PivotTable3"/>
  </pivotTables>
  <data>
    <tabular pivotCacheId="12216566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688A553-D6CA-4E97-97EA-B4B4C308CEB5}" cache="Slicer_Product" caption="Product" rowHeight="234950"/>
  <slicer name="Category" xr10:uid="{10033A97-7F73-46B8-9F24-68C13EB3FD93}"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E8C0C-70DA-402F-9B0B-B654B93AEB00}" name="Table1" displayName="Table1" ref="A1:F101" totalsRowShown="0">
  <autoFilter ref="A1:F101" xr:uid="{371E8C0C-70DA-402F-9B0B-B654B93AEB00}"/>
  <tableColumns count="6">
    <tableColumn id="1" xr3:uid="{8E52F3B1-1993-4B80-8007-39389FBA8A65}" name="Date" dataDxfId="0"/>
    <tableColumn id="2" xr3:uid="{0F6896F5-57A9-4B7E-8DEC-78AD54E90B7E}" name="Product"/>
    <tableColumn id="3" xr3:uid="{AF38B4DF-8651-419B-84F2-D8278453CBCA}" name="Category"/>
    <tableColumn id="4" xr3:uid="{28B14FC8-DB17-44F7-B4D2-178880AF09CB}" name="Quantity"/>
    <tableColumn id="5" xr3:uid="{A035C2E0-D105-4934-893A-7727C3A2B48D}" name="Unit Price"/>
    <tableColumn id="6" xr3:uid="{33FE2865-CA01-4D09-8144-E29F3111608A}"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8E9C9-AA68-4CFA-8DAC-6D1792FD89E9}">
  <dimension ref="A1:F101"/>
  <sheetViews>
    <sheetView workbookViewId="0">
      <selection activeCell="C12" sqref="C12"/>
    </sheetView>
  </sheetViews>
  <sheetFormatPr defaultRowHeight="14.4" x14ac:dyDescent="0.3"/>
  <cols>
    <col min="1" max="1" width="9.21875" bestFit="1" customWidth="1"/>
    <col min="2" max="2" width="9.5546875" customWidth="1"/>
    <col min="3" max="3" width="10.44140625" customWidth="1"/>
    <col min="4" max="4" width="10.21875" customWidth="1"/>
    <col min="5" max="5" width="11" customWidth="1"/>
    <col min="6" max="6" width="10.21875" customWidth="1"/>
  </cols>
  <sheetData>
    <row r="1" spans="1:6" x14ac:dyDescent="0.3">
      <c r="A1" t="s">
        <v>0</v>
      </c>
      <c r="B1" t="s">
        <v>1</v>
      </c>
      <c r="C1" t="s">
        <v>2</v>
      </c>
      <c r="D1" t="s">
        <v>3</v>
      </c>
      <c r="E1" t="s">
        <v>4</v>
      </c>
      <c r="F1" t="s">
        <v>5</v>
      </c>
    </row>
    <row r="2" spans="1:6" x14ac:dyDescent="0.3">
      <c r="A2" s="1">
        <v>46023</v>
      </c>
      <c r="B2" t="s">
        <v>6</v>
      </c>
      <c r="C2" t="s">
        <v>7</v>
      </c>
      <c r="D2">
        <v>1</v>
      </c>
      <c r="E2">
        <v>50000</v>
      </c>
      <c r="F2">
        <v>50000</v>
      </c>
    </row>
    <row r="3" spans="1:6" x14ac:dyDescent="0.3">
      <c r="A3" s="1">
        <v>46023</v>
      </c>
      <c r="B3" t="s">
        <v>8</v>
      </c>
      <c r="C3" t="s">
        <v>9</v>
      </c>
      <c r="D3">
        <v>2</v>
      </c>
      <c r="E3">
        <v>500</v>
      </c>
      <c r="F3">
        <v>1000</v>
      </c>
    </row>
    <row r="4" spans="1:6" x14ac:dyDescent="0.3">
      <c r="A4" s="1">
        <v>46024</v>
      </c>
      <c r="B4" t="s">
        <v>10</v>
      </c>
      <c r="C4" t="s">
        <v>9</v>
      </c>
      <c r="D4">
        <v>3</v>
      </c>
      <c r="E4">
        <v>1000</v>
      </c>
      <c r="F4">
        <v>3000</v>
      </c>
    </row>
    <row r="5" spans="1:6" x14ac:dyDescent="0.3">
      <c r="A5" s="1">
        <v>46024</v>
      </c>
      <c r="B5" t="s">
        <v>11</v>
      </c>
      <c r="C5" t="s">
        <v>7</v>
      </c>
      <c r="D5">
        <v>4</v>
      </c>
      <c r="E5">
        <v>12000</v>
      </c>
      <c r="F5">
        <v>48000</v>
      </c>
    </row>
    <row r="6" spans="1:6" x14ac:dyDescent="0.3">
      <c r="A6" s="1">
        <v>46025</v>
      </c>
      <c r="B6" t="s">
        <v>12</v>
      </c>
      <c r="C6" t="s">
        <v>7</v>
      </c>
      <c r="D6">
        <v>5</v>
      </c>
      <c r="E6">
        <v>8000</v>
      </c>
      <c r="F6">
        <v>40000</v>
      </c>
    </row>
    <row r="7" spans="1:6" x14ac:dyDescent="0.3">
      <c r="A7" s="1">
        <v>46025</v>
      </c>
      <c r="B7" t="s">
        <v>13</v>
      </c>
      <c r="C7" t="s">
        <v>9</v>
      </c>
      <c r="D7">
        <v>6</v>
      </c>
      <c r="E7">
        <v>1500</v>
      </c>
      <c r="F7">
        <v>9000</v>
      </c>
    </row>
    <row r="8" spans="1:6" x14ac:dyDescent="0.3">
      <c r="A8" s="1">
        <v>46026</v>
      </c>
      <c r="B8" t="s">
        <v>14</v>
      </c>
      <c r="C8" t="s">
        <v>9</v>
      </c>
      <c r="D8">
        <v>7</v>
      </c>
      <c r="E8">
        <v>2000</v>
      </c>
      <c r="F8">
        <v>14000</v>
      </c>
    </row>
    <row r="9" spans="1:6" x14ac:dyDescent="0.3">
      <c r="A9" s="1">
        <v>46026</v>
      </c>
      <c r="B9" t="s">
        <v>15</v>
      </c>
      <c r="C9" t="s">
        <v>9</v>
      </c>
      <c r="D9">
        <v>8</v>
      </c>
      <c r="E9">
        <v>3000</v>
      </c>
      <c r="F9">
        <v>24000</v>
      </c>
    </row>
    <row r="10" spans="1:6" x14ac:dyDescent="0.3">
      <c r="A10" s="1">
        <v>46027</v>
      </c>
      <c r="B10" t="s">
        <v>16</v>
      </c>
      <c r="C10" t="s">
        <v>7</v>
      </c>
      <c r="D10">
        <v>1</v>
      </c>
      <c r="E10">
        <v>4500</v>
      </c>
      <c r="F10">
        <v>4500</v>
      </c>
    </row>
    <row r="11" spans="1:6" x14ac:dyDescent="0.3">
      <c r="A11" s="1">
        <v>46027</v>
      </c>
      <c r="B11" t="s">
        <v>17</v>
      </c>
      <c r="C11" t="s">
        <v>7</v>
      </c>
      <c r="D11">
        <v>2</v>
      </c>
      <c r="E11">
        <v>2500</v>
      </c>
      <c r="F11">
        <v>5000</v>
      </c>
    </row>
    <row r="12" spans="1:6" x14ac:dyDescent="0.3">
      <c r="A12" s="1">
        <v>46028</v>
      </c>
      <c r="B12" t="s">
        <v>6</v>
      </c>
      <c r="C12" t="s">
        <v>7</v>
      </c>
      <c r="D12">
        <v>3</v>
      </c>
      <c r="E12">
        <v>50000</v>
      </c>
      <c r="F12">
        <v>150000</v>
      </c>
    </row>
    <row r="13" spans="1:6" x14ac:dyDescent="0.3">
      <c r="A13" s="1">
        <v>46028</v>
      </c>
      <c r="B13" t="s">
        <v>8</v>
      </c>
      <c r="C13" t="s">
        <v>9</v>
      </c>
      <c r="D13">
        <v>4</v>
      </c>
      <c r="E13">
        <v>500</v>
      </c>
      <c r="F13">
        <v>2000</v>
      </c>
    </row>
    <row r="14" spans="1:6" x14ac:dyDescent="0.3">
      <c r="A14" s="1">
        <v>46029</v>
      </c>
      <c r="B14" t="s">
        <v>10</v>
      </c>
      <c r="C14" t="s">
        <v>9</v>
      </c>
      <c r="D14">
        <v>5</v>
      </c>
      <c r="E14">
        <v>1000</v>
      </c>
      <c r="F14">
        <v>5000</v>
      </c>
    </row>
    <row r="15" spans="1:6" x14ac:dyDescent="0.3">
      <c r="A15" s="1">
        <v>46029</v>
      </c>
      <c r="B15" t="s">
        <v>11</v>
      </c>
      <c r="C15" t="s">
        <v>7</v>
      </c>
      <c r="D15">
        <v>6</v>
      </c>
      <c r="E15">
        <v>12000</v>
      </c>
      <c r="F15">
        <v>72000</v>
      </c>
    </row>
    <row r="16" spans="1:6" x14ac:dyDescent="0.3">
      <c r="A16" s="1">
        <v>46030</v>
      </c>
      <c r="B16" t="s">
        <v>12</v>
      </c>
      <c r="C16" t="s">
        <v>7</v>
      </c>
      <c r="D16">
        <v>7</v>
      </c>
      <c r="E16">
        <v>8000</v>
      </c>
      <c r="F16">
        <v>56000</v>
      </c>
    </row>
    <row r="17" spans="1:6" x14ac:dyDescent="0.3">
      <c r="A17" s="1">
        <v>46030</v>
      </c>
      <c r="B17" t="s">
        <v>13</v>
      </c>
      <c r="C17" t="s">
        <v>9</v>
      </c>
      <c r="D17">
        <v>8</v>
      </c>
      <c r="E17">
        <v>1500</v>
      </c>
      <c r="F17">
        <v>12000</v>
      </c>
    </row>
    <row r="18" spans="1:6" x14ac:dyDescent="0.3">
      <c r="A18" s="1">
        <v>46031</v>
      </c>
      <c r="B18" t="s">
        <v>14</v>
      </c>
      <c r="C18" t="s">
        <v>9</v>
      </c>
      <c r="D18">
        <v>1</v>
      </c>
      <c r="E18">
        <v>2000</v>
      </c>
      <c r="F18">
        <v>2000</v>
      </c>
    </row>
    <row r="19" spans="1:6" x14ac:dyDescent="0.3">
      <c r="A19" s="1">
        <v>46031</v>
      </c>
      <c r="B19" t="s">
        <v>15</v>
      </c>
      <c r="C19" t="s">
        <v>9</v>
      </c>
      <c r="D19">
        <v>2</v>
      </c>
      <c r="E19">
        <v>3000</v>
      </c>
      <c r="F19">
        <v>6000</v>
      </c>
    </row>
    <row r="20" spans="1:6" x14ac:dyDescent="0.3">
      <c r="A20" s="1">
        <v>46032</v>
      </c>
      <c r="B20" t="s">
        <v>16</v>
      </c>
      <c r="C20" t="s">
        <v>7</v>
      </c>
      <c r="D20">
        <v>3</v>
      </c>
      <c r="E20">
        <v>4500</v>
      </c>
      <c r="F20">
        <v>13500</v>
      </c>
    </row>
    <row r="21" spans="1:6" x14ac:dyDescent="0.3">
      <c r="A21" s="1">
        <v>46032</v>
      </c>
      <c r="B21" t="s">
        <v>17</v>
      </c>
      <c r="C21" t="s">
        <v>7</v>
      </c>
      <c r="D21">
        <v>4</v>
      </c>
      <c r="E21">
        <v>2500</v>
      </c>
      <c r="F21">
        <v>10000</v>
      </c>
    </row>
    <row r="22" spans="1:6" x14ac:dyDescent="0.3">
      <c r="A22" s="1">
        <v>46033</v>
      </c>
      <c r="B22" t="s">
        <v>6</v>
      </c>
      <c r="C22" t="s">
        <v>7</v>
      </c>
      <c r="D22">
        <v>5</v>
      </c>
      <c r="E22">
        <v>50000</v>
      </c>
      <c r="F22">
        <v>250000</v>
      </c>
    </row>
    <row r="23" spans="1:6" x14ac:dyDescent="0.3">
      <c r="A23" s="1">
        <v>46033</v>
      </c>
      <c r="B23" t="s">
        <v>8</v>
      </c>
      <c r="C23" t="s">
        <v>9</v>
      </c>
      <c r="D23">
        <v>6</v>
      </c>
      <c r="E23">
        <v>500</v>
      </c>
      <c r="F23">
        <v>3000</v>
      </c>
    </row>
    <row r="24" spans="1:6" x14ac:dyDescent="0.3">
      <c r="A24" s="1">
        <v>46034</v>
      </c>
      <c r="B24" t="s">
        <v>10</v>
      </c>
      <c r="C24" t="s">
        <v>9</v>
      </c>
      <c r="D24">
        <v>7</v>
      </c>
      <c r="E24">
        <v>1000</v>
      </c>
      <c r="F24">
        <v>7000</v>
      </c>
    </row>
    <row r="25" spans="1:6" x14ac:dyDescent="0.3">
      <c r="A25" s="1">
        <v>46034</v>
      </c>
      <c r="B25" t="s">
        <v>11</v>
      </c>
      <c r="C25" t="s">
        <v>7</v>
      </c>
      <c r="D25">
        <v>8</v>
      </c>
      <c r="E25">
        <v>12000</v>
      </c>
      <c r="F25">
        <v>96000</v>
      </c>
    </row>
    <row r="26" spans="1:6" x14ac:dyDescent="0.3">
      <c r="A26" s="1">
        <v>46035</v>
      </c>
      <c r="B26" t="s">
        <v>12</v>
      </c>
      <c r="C26" t="s">
        <v>7</v>
      </c>
      <c r="D26">
        <v>1</v>
      </c>
      <c r="E26">
        <v>8000</v>
      </c>
      <c r="F26">
        <v>8000</v>
      </c>
    </row>
    <row r="27" spans="1:6" x14ac:dyDescent="0.3">
      <c r="A27" s="1">
        <v>46035</v>
      </c>
      <c r="B27" t="s">
        <v>13</v>
      </c>
      <c r="C27" t="s">
        <v>9</v>
      </c>
      <c r="D27">
        <v>2</v>
      </c>
      <c r="E27">
        <v>1500</v>
      </c>
      <c r="F27">
        <v>3000</v>
      </c>
    </row>
    <row r="28" spans="1:6" x14ac:dyDescent="0.3">
      <c r="A28" s="1">
        <v>46036</v>
      </c>
      <c r="B28" t="s">
        <v>14</v>
      </c>
      <c r="C28" t="s">
        <v>9</v>
      </c>
      <c r="D28">
        <v>3</v>
      </c>
      <c r="E28">
        <v>2000</v>
      </c>
      <c r="F28">
        <v>6000</v>
      </c>
    </row>
    <row r="29" spans="1:6" x14ac:dyDescent="0.3">
      <c r="A29" s="1">
        <v>46036</v>
      </c>
      <c r="B29" t="s">
        <v>15</v>
      </c>
      <c r="C29" t="s">
        <v>9</v>
      </c>
      <c r="D29">
        <v>4</v>
      </c>
      <c r="E29">
        <v>3000</v>
      </c>
      <c r="F29">
        <v>12000</v>
      </c>
    </row>
    <row r="30" spans="1:6" x14ac:dyDescent="0.3">
      <c r="A30" s="1">
        <v>46037</v>
      </c>
      <c r="B30" t="s">
        <v>16</v>
      </c>
      <c r="C30" t="s">
        <v>7</v>
      </c>
      <c r="D30">
        <v>5</v>
      </c>
      <c r="E30">
        <v>4500</v>
      </c>
      <c r="F30">
        <v>22500</v>
      </c>
    </row>
    <row r="31" spans="1:6" x14ac:dyDescent="0.3">
      <c r="A31" s="1">
        <v>46037</v>
      </c>
      <c r="B31" t="s">
        <v>17</v>
      </c>
      <c r="C31" t="s">
        <v>7</v>
      </c>
      <c r="D31">
        <v>6</v>
      </c>
      <c r="E31">
        <v>2500</v>
      </c>
      <c r="F31">
        <v>15000</v>
      </c>
    </row>
    <row r="32" spans="1:6" x14ac:dyDescent="0.3">
      <c r="A32" s="1">
        <v>46038</v>
      </c>
      <c r="B32" t="s">
        <v>6</v>
      </c>
      <c r="C32" t="s">
        <v>7</v>
      </c>
      <c r="D32">
        <v>7</v>
      </c>
      <c r="E32">
        <v>50000</v>
      </c>
      <c r="F32">
        <v>350000</v>
      </c>
    </row>
    <row r="33" spans="1:6" x14ac:dyDescent="0.3">
      <c r="A33" s="1">
        <v>46038</v>
      </c>
      <c r="B33" t="s">
        <v>8</v>
      </c>
      <c r="C33" t="s">
        <v>9</v>
      </c>
      <c r="D33">
        <v>8</v>
      </c>
      <c r="E33">
        <v>500</v>
      </c>
      <c r="F33">
        <v>4000</v>
      </c>
    </row>
    <row r="34" spans="1:6" x14ac:dyDescent="0.3">
      <c r="A34" s="1">
        <v>46039</v>
      </c>
      <c r="B34" t="s">
        <v>10</v>
      </c>
      <c r="C34" t="s">
        <v>9</v>
      </c>
      <c r="D34">
        <v>1</v>
      </c>
      <c r="E34">
        <v>1000</v>
      </c>
      <c r="F34">
        <v>1000</v>
      </c>
    </row>
    <row r="35" spans="1:6" x14ac:dyDescent="0.3">
      <c r="A35" s="1">
        <v>46039</v>
      </c>
      <c r="B35" t="s">
        <v>11</v>
      </c>
      <c r="C35" t="s">
        <v>7</v>
      </c>
      <c r="D35">
        <v>2</v>
      </c>
      <c r="E35">
        <v>12000</v>
      </c>
      <c r="F35">
        <v>24000</v>
      </c>
    </row>
    <row r="36" spans="1:6" x14ac:dyDescent="0.3">
      <c r="A36" s="1">
        <v>46040</v>
      </c>
      <c r="B36" t="s">
        <v>12</v>
      </c>
      <c r="C36" t="s">
        <v>7</v>
      </c>
      <c r="D36">
        <v>3</v>
      </c>
      <c r="E36">
        <v>8000</v>
      </c>
      <c r="F36">
        <v>24000</v>
      </c>
    </row>
    <row r="37" spans="1:6" x14ac:dyDescent="0.3">
      <c r="A37" s="1">
        <v>46040</v>
      </c>
      <c r="B37" t="s">
        <v>13</v>
      </c>
      <c r="C37" t="s">
        <v>9</v>
      </c>
      <c r="D37">
        <v>4</v>
      </c>
      <c r="E37">
        <v>1500</v>
      </c>
      <c r="F37">
        <v>6000</v>
      </c>
    </row>
    <row r="38" spans="1:6" x14ac:dyDescent="0.3">
      <c r="A38" s="1">
        <v>46041</v>
      </c>
      <c r="B38" t="s">
        <v>14</v>
      </c>
      <c r="C38" t="s">
        <v>9</v>
      </c>
      <c r="D38">
        <v>5</v>
      </c>
      <c r="E38">
        <v>2000</v>
      </c>
      <c r="F38">
        <v>10000</v>
      </c>
    </row>
    <row r="39" spans="1:6" x14ac:dyDescent="0.3">
      <c r="A39" s="1">
        <v>46041</v>
      </c>
      <c r="B39" t="s">
        <v>15</v>
      </c>
      <c r="C39" t="s">
        <v>9</v>
      </c>
      <c r="D39">
        <v>6</v>
      </c>
      <c r="E39">
        <v>3000</v>
      </c>
      <c r="F39">
        <v>18000</v>
      </c>
    </row>
    <row r="40" spans="1:6" x14ac:dyDescent="0.3">
      <c r="A40" s="1">
        <v>46042</v>
      </c>
      <c r="B40" t="s">
        <v>16</v>
      </c>
      <c r="C40" t="s">
        <v>7</v>
      </c>
      <c r="D40">
        <v>7</v>
      </c>
      <c r="E40">
        <v>4500</v>
      </c>
      <c r="F40">
        <v>31500</v>
      </c>
    </row>
    <row r="41" spans="1:6" x14ac:dyDescent="0.3">
      <c r="A41" s="1">
        <v>46042</v>
      </c>
      <c r="B41" t="s">
        <v>17</v>
      </c>
      <c r="C41" t="s">
        <v>7</v>
      </c>
      <c r="D41">
        <v>8</v>
      </c>
      <c r="E41">
        <v>2500</v>
      </c>
      <c r="F41">
        <v>20000</v>
      </c>
    </row>
    <row r="42" spans="1:6" x14ac:dyDescent="0.3">
      <c r="A42" s="1">
        <v>46043</v>
      </c>
      <c r="B42" t="s">
        <v>6</v>
      </c>
      <c r="C42" t="s">
        <v>7</v>
      </c>
      <c r="D42">
        <v>1</v>
      </c>
      <c r="E42">
        <v>50000</v>
      </c>
      <c r="F42">
        <v>50000</v>
      </c>
    </row>
    <row r="43" spans="1:6" x14ac:dyDescent="0.3">
      <c r="A43" s="1">
        <v>46043</v>
      </c>
      <c r="B43" t="s">
        <v>8</v>
      </c>
      <c r="C43" t="s">
        <v>9</v>
      </c>
      <c r="D43">
        <v>2</v>
      </c>
      <c r="E43">
        <v>500</v>
      </c>
      <c r="F43">
        <v>1000</v>
      </c>
    </row>
    <row r="44" spans="1:6" x14ac:dyDescent="0.3">
      <c r="A44" s="1">
        <v>46044</v>
      </c>
      <c r="B44" t="s">
        <v>10</v>
      </c>
      <c r="C44" t="s">
        <v>9</v>
      </c>
      <c r="D44">
        <v>3</v>
      </c>
      <c r="E44">
        <v>1000</v>
      </c>
      <c r="F44">
        <v>3000</v>
      </c>
    </row>
    <row r="45" spans="1:6" x14ac:dyDescent="0.3">
      <c r="A45" s="1">
        <v>46044</v>
      </c>
      <c r="B45" t="s">
        <v>11</v>
      </c>
      <c r="C45" t="s">
        <v>7</v>
      </c>
      <c r="D45">
        <v>4</v>
      </c>
      <c r="E45">
        <v>12000</v>
      </c>
      <c r="F45">
        <v>48000</v>
      </c>
    </row>
    <row r="46" spans="1:6" x14ac:dyDescent="0.3">
      <c r="A46" s="1">
        <v>46045</v>
      </c>
      <c r="B46" t="s">
        <v>12</v>
      </c>
      <c r="C46" t="s">
        <v>7</v>
      </c>
      <c r="D46">
        <v>5</v>
      </c>
      <c r="E46">
        <v>8000</v>
      </c>
      <c r="F46">
        <v>40000</v>
      </c>
    </row>
    <row r="47" spans="1:6" x14ac:dyDescent="0.3">
      <c r="A47" s="1">
        <v>46045</v>
      </c>
      <c r="B47" t="s">
        <v>13</v>
      </c>
      <c r="C47" t="s">
        <v>9</v>
      </c>
      <c r="D47">
        <v>6</v>
      </c>
      <c r="E47">
        <v>1500</v>
      </c>
      <c r="F47">
        <v>9000</v>
      </c>
    </row>
    <row r="48" spans="1:6" x14ac:dyDescent="0.3">
      <c r="A48" s="1">
        <v>46046</v>
      </c>
      <c r="B48" t="s">
        <v>14</v>
      </c>
      <c r="C48" t="s">
        <v>9</v>
      </c>
      <c r="D48">
        <v>7</v>
      </c>
      <c r="E48">
        <v>2000</v>
      </c>
      <c r="F48">
        <v>14000</v>
      </c>
    </row>
    <row r="49" spans="1:6" x14ac:dyDescent="0.3">
      <c r="A49" s="1">
        <v>46046</v>
      </c>
      <c r="B49" t="s">
        <v>15</v>
      </c>
      <c r="C49" t="s">
        <v>9</v>
      </c>
      <c r="D49">
        <v>8</v>
      </c>
      <c r="E49">
        <v>3000</v>
      </c>
      <c r="F49">
        <v>24000</v>
      </c>
    </row>
    <row r="50" spans="1:6" x14ac:dyDescent="0.3">
      <c r="A50" s="1">
        <v>46047</v>
      </c>
      <c r="B50" t="s">
        <v>16</v>
      </c>
      <c r="C50" t="s">
        <v>7</v>
      </c>
      <c r="D50">
        <v>1</v>
      </c>
      <c r="E50">
        <v>4500</v>
      </c>
      <c r="F50">
        <v>4500</v>
      </c>
    </row>
    <row r="51" spans="1:6" x14ac:dyDescent="0.3">
      <c r="A51" s="1">
        <v>46047</v>
      </c>
      <c r="B51" t="s">
        <v>17</v>
      </c>
      <c r="C51" t="s">
        <v>7</v>
      </c>
      <c r="D51">
        <v>2</v>
      </c>
      <c r="E51">
        <v>2500</v>
      </c>
      <c r="F51">
        <v>5000</v>
      </c>
    </row>
    <row r="52" spans="1:6" x14ac:dyDescent="0.3">
      <c r="A52" s="1">
        <v>46048</v>
      </c>
      <c r="B52" t="s">
        <v>6</v>
      </c>
      <c r="C52" t="s">
        <v>7</v>
      </c>
      <c r="D52">
        <v>3</v>
      </c>
      <c r="E52">
        <v>50000</v>
      </c>
      <c r="F52">
        <v>150000</v>
      </c>
    </row>
    <row r="53" spans="1:6" x14ac:dyDescent="0.3">
      <c r="A53" s="1">
        <v>46048</v>
      </c>
      <c r="B53" t="s">
        <v>8</v>
      </c>
      <c r="C53" t="s">
        <v>9</v>
      </c>
      <c r="D53">
        <v>4</v>
      </c>
      <c r="E53">
        <v>500</v>
      </c>
      <c r="F53">
        <v>2000</v>
      </c>
    </row>
    <row r="54" spans="1:6" x14ac:dyDescent="0.3">
      <c r="A54" s="1">
        <v>46049</v>
      </c>
      <c r="B54" t="s">
        <v>10</v>
      </c>
      <c r="C54" t="s">
        <v>9</v>
      </c>
      <c r="D54">
        <v>5</v>
      </c>
      <c r="E54">
        <v>1000</v>
      </c>
      <c r="F54">
        <v>5000</v>
      </c>
    </row>
    <row r="55" spans="1:6" x14ac:dyDescent="0.3">
      <c r="A55" s="1">
        <v>46049</v>
      </c>
      <c r="B55" t="s">
        <v>11</v>
      </c>
      <c r="C55" t="s">
        <v>7</v>
      </c>
      <c r="D55">
        <v>6</v>
      </c>
      <c r="E55">
        <v>12000</v>
      </c>
      <c r="F55">
        <v>72000</v>
      </c>
    </row>
    <row r="56" spans="1:6" x14ac:dyDescent="0.3">
      <c r="A56" s="1">
        <v>46050</v>
      </c>
      <c r="B56" t="s">
        <v>12</v>
      </c>
      <c r="C56" t="s">
        <v>7</v>
      </c>
      <c r="D56">
        <v>7</v>
      </c>
      <c r="E56">
        <v>8000</v>
      </c>
      <c r="F56">
        <v>56000</v>
      </c>
    </row>
    <row r="57" spans="1:6" x14ac:dyDescent="0.3">
      <c r="A57" s="1">
        <v>46050</v>
      </c>
      <c r="B57" t="s">
        <v>13</v>
      </c>
      <c r="C57" t="s">
        <v>9</v>
      </c>
      <c r="D57">
        <v>8</v>
      </c>
      <c r="E57">
        <v>1500</v>
      </c>
      <c r="F57">
        <v>12000</v>
      </c>
    </row>
    <row r="58" spans="1:6" x14ac:dyDescent="0.3">
      <c r="A58" s="1">
        <v>46051</v>
      </c>
      <c r="B58" t="s">
        <v>14</v>
      </c>
      <c r="C58" t="s">
        <v>9</v>
      </c>
      <c r="D58">
        <v>1</v>
      </c>
      <c r="E58">
        <v>2000</v>
      </c>
      <c r="F58">
        <v>2000</v>
      </c>
    </row>
    <row r="59" spans="1:6" x14ac:dyDescent="0.3">
      <c r="A59" s="1">
        <v>46051</v>
      </c>
      <c r="B59" t="s">
        <v>15</v>
      </c>
      <c r="C59" t="s">
        <v>9</v>
      </c>
      <c r="D59">
        <v>2</v>
      </c>
      <c r="E59">
        <v>3000</v>
      </c>
      <c r="F59">
        <v>6000</v>
      </c>
    </row>
    <row r="60" spans="1:6" x14ac:dyDescent="0.3">
      <c r="A60" s="1">
        <v>46052</v>
      </c>
      <c r="B60" t="s">
        <v>16</v>
      </c>
      <c r="C60" t="s">
        <v>7</v>
      </c>
      <c r="D60">
        <v>3</v>
      </c>
      <c r="E60">
        <v>4500</v>
      </c>
      <c r="F60">
        <v>13500</v>
      </c>
    </row>
    <row r="61" spans="1:6" x14ac:dyDescent="0.3">
      <c r="A61" s="1">
        <v>46052</v>
      </c>
      <c r="B61" t="s">
        <v>17</v>
      </c>
      <c r="C61" t="s">
        <v>7</v>
      </c>
      <c r="D61">
        <v>4</v>
      </c>
      <c r="E61">
        <v>2500</v>
      </c>
      <c r="F61">
        <v>10000</v>
      </c>
    </row>
    <row r="62" spans="1:6" x14ac:dyDescent="0.3">
      <c r="A62" s="1">
        <v>46053</v>
      </c>
      <c r="B62" t="s">
        <v>6</v>
      </c>
      <c r="C62" t="s">
        <v>7</v>
      </c>
      <c r="D62">
        <v>5</v>
      </c>
      <c r="E62">
        <v>50000</v>
      </c>
      <c r="F62">
        <v>250000</v>
      </c>
    </row>
    <row r="63" spans="1:6" x14ac:dyDescent="0.3">
      <c r="A63" s="1">
        <v>46053</v>
      </c>
      <c r="B63" t="s">
        <v>8</v>
      </c>
      <c r="C63" t="s">
        <v>9</v>
      </c>
      <c r="D63">
        <v>6</v>
      </c>
      <c r="E63">
        <v>500</v>
      </c>
      <c r="F63">
        <v>3000</v>
      </c>
    </row>
    <row r="64" spans="1:6" x14ac:dyDescent="0.3">
      <c r="A64" s="1">
        <v>46054</v>
      </c>
      <c r="B64" t="s">
        <v>10</v>
      </c>
      <c r="C64" t="s">
        <v>9</v>
      </c>
      <c r="D64">
        <v>7</v>
      </c>
      <c r="E64">
        <v>1000</v>
      </c>
      <c r="F64">
        <v>7000</v>
      </c>
    </row>
    <row r="65" spans="1:6" x14ac:dyDescent="0.3">
      <c r="A65" s="1">
        <v>46054</v>
      </c>
      <c r="B65" t="s">
        <v>11</v>
      </c>
      <c r="C65" t="s">
        <v>7</v>
      </c>
      <c r="D65">
        <v>8</v>
      </c>
      <c r="E65">
        <v>12000</v>
      </c>
      <c r="F65">
        <v>96000</v>
      </c>
    </row>
    <row r="66" spans="1:6" x14ac:dyDescent="0.3">
      <c r="A66" s="1">
        <v>46055</v>
      </c>
      <c r="B66" t="s">
        <v>12</v>
      </c>
      <c r="C66" t="s">
        <v>7</v>
      </c>
      <c r="D66">
        <v>1</v>
      </c>
      <c r="E66">
        <v>8000</v>
      </c>
      <c r="F66">
        <v>8000</v>
      </c>
    </row>
    <row r="67" spans="1:6" x14ac:dyDescent="0.3">
      <c r="A67" s="1">
        <v>46055</v>
      </c>
      <c r="B67" t="s">
        <v>13</v>
      </c>
      <c r="C67" t="s">
        <v>9</v>
      </c>
      <c r="D67">
        <v>2</v>
      </c>
      <c r="E67">
        <v>1500</v>
      </c>
      <c r="F67">
        <v>3000</v>
      </c>
    </row>
    <row r="68" spans="1:6" x14ac:dyDescent="0.3">
      <c r="A68" s="1">
        <v>46056</v>
      </c>
      <c r="B68" t="s">
        <v>14</v>
      </c>
      <c r="C68" t="s">
        <v>9</v>
      </c>
      <c r="D68">
        <v>3</v>
      </c>
      <c r="E68">
        <v>2000</v>
      </c>
      <c r="F68">
        <v>6000</v>
      </c>
    </row>
    <row r="69" spans="1:6" x14ac:dyDescent="0.3">
      <c r="A69" s="1">
        <v>46056</v>
      </c>
      <c r="B69" t="s">
        <v>15</v>
      </c>
      <c r="C69" t="s">
        <v>9</v>
      </c>
      <c r="D69">
        <v>4</v>
      </c>
      <c r="E69">
        <v>3000</v>
      </c>
      <c r="F69">
        <v>12000</v>
      </c>
    </row>
    <row r="70" spans="1:6" x14ac:dyDescent="0.3">
      <c r="A70" s="1">
        <v>46057</v>
      </c>
      <c r="B70" t="s">
        <v>16</v>
      </c>
      <c r="C70" t="s">
        <v>7</v>
      </c>
      <c r="D70">
        <v>5</v>
      </c>
      <c r="E70">
        <v>4500</v>
      </c>
      <c r="F70">
        <v>22500</v>
      </c>
    </row>
    <row r="71" spans="1:6" x14ac:dyDescent="0.3">
      <c r="A71" s="1">
        <v>46057</v>
      </c>
      <c r="B71" t="s">
        <v>17</v>
      </c>
      <c r="C71" t="s">
        <v>7</v>
      </c>
      <c r="D71">
        <v>6</v>
      </c>
      <c r="E71">
        <v>2500</v>
      </c>
      <c r="F71">
        <v>15000</v>
      </c>
    </row>
    <row r="72" spans="1:6" x14ac:dyDescent="0.3">
      <c r="A72" s="1">
        <v>46058</v>
      </c>
      <c r="B72" t="s">
        <v>6</v>
      </c>
      <c r="C72" t="s">
        <v>7</v>
      </c>
      <c r="D72">
        <v>7</v>
      </c>
      <c r="E72">
        <v>50000</v>
      </c>
      <c r="F72">
        <v>350000</v>
      </c>
    </row>
    <row r="73" spans="1:6" x14ac:dyDescent="0.3">
      <c r="A73" s="1">
        <v>46058</v>
      </c>
      <c r="B73" t="s">
        <v>8</v>
      </c>
      <c r="C73" t="s">
        <v>9</v>
      </c>
      <c r="D73">
        <v>8</v>
      </c>
      <c r="E73">
        <v>500</v>
      </c>
      <c r="F73">
        <v>4000</v>
      </c>
    </row>
    <row r="74" spans="1:6" x14ac:dyDescent="0.3">
      <c r="A74" s="1">
        <v>46059</v>
      </c>
      <c r="B74" t="s">
        <v>10</v>
      </c>
      <c r="C74" t="s">
        <v>9</v>
      </c>
      <c r="D74">
        <v>1</v>
      </c>
      <c r="E74">
        <v>1000</v>
      </c>
      <c r="F74">
        <v>1000</v>
      </c>
    </row>
    <row r="75" spans="1:6" x14ac:dyDescent="0.3">
      <c r="A75" s="1">
        <v>46059</v>
      </c>
      <c r="B75" t="s">
        <v>11</v>
      </c>
      <c r="C75" t="s">
        <v>7</v>
      </c>
      <c r="D75">
        <v>2</v>
      </c>
      <c r="E75">
        <v>12000</v>
      </c>
      <c r="F75">
        <v>24000</v>
      </c>
    </row>
    <row r="76" spans="1:6" x14ac:dyDescent="0.3">
      <c r="A76" s="1">
        <v>46060</v>
      </c>
      <c r="B76" t="s">
        <v>12</v>
      </c>
      <c r="C76" t="s">
        <v>7</v>
      </c>
      <c r="D76">
        <v>3</v>
      </c>
      <c r="E76">
        <v>8000</v>
      </c>
      <c r="F76">
        <v>24000</v>
      </c>
    </row>
    <row r="77" spans="1:6" x14ac:dyDescent="0.3">
      <c r="A77" s="1">
        <v>46060</v>
      </c>
      <c r="B77" t="s">
        <v>13</v>
      </c>
      <c r="C77" t="s">
        <v>9</v>
      </c>
      <c r="D77">
        <v>4</v>
      </c>
      <c r="E77">
        <v>1500</v>
      </c>
      <c r="F77">
        <v>6000</v>
      </c>
    </row>
    <row r="78" spans="1:6" x14ac:dyDescent="0.3">
      <c r="A78" s="1">
        <v>46061</v>
      </c>
      <c r="B78" t="s">
        <v>14</v>
      </c>
      <c r="C78" t="s">
        <v>9</v>
      </c>
      <c r="D78">
        <v>5</v>
      </c>
      <c r="E78">
        <v>2000</v>
      </c>
      <c r="F78">
        <v>10000</v>
      </c>
    </row>
    <row r="79" spans="1:6" x14ac:dyDescent="0.3">
      <c r="A79" s="1">
        <v>46061</v>
      </c>
      <c r="B79" t="s">
        <v>15</v>
      </c>
      <c r="C79" t="s">
        <v>9</v>
      </c>
      <c r="D79">
        <v>6</v>
      </c>
      <c r="E79">
        <v>3000</v>
      </c>
      <c r="F79">
        <v>18000</v>
      </c>
    </row>
    <row r="80" spans="1:6" x14ac:dyDescent="0.3">
      <c r="A80" s="1">
        <v>46062</v>
      </c>
      <c r="B80" t="s">
        <v>16</v>
      </c>
      <c r="C80" t="s">
        <v>7</v>
      </c>
      <c r="D80">
        <v>7</v>
      </c>
      <c r="E80">
        <v>4500</v>
      </c>
      <c r="F80">
        <v>31500</v>
      </c>
    </row>
    <row r="81" spans="1:6" x14ac:dyDescent="0.3">
      <c r="A81" s="1">
        <v>46062</v>
      </c>
      <c r="B81" t="s">
        <v>17</v>
      </c>
      <c r="C81" t="s">
        <v>7</v>
      </c>
      <c r="D81">
        <v>8</v>
      </c>
      <c r="E81">
        <v>2500</v>
      </c>
      <c r="F81">
        <v>20000</v>
      </c>
    </row>
    <row r="82" spans="1:6" x14ac:dyDescent="0.3">
      <c r="A82" s="1">
        <v>46063</v>
      </c>
      <c r="B82" t="s">
        <v>6</v>
      </c>
      <c r="C82" t="s">
        <v>7</v>
      </c>
      <c r="D82">
        <v>1</v>
      </c>
      <c r="E82">
        <v>50000</v>
      </c>
      <c r="F82">
        <v>50000</v>
      </c>
    </row>
    <row r="83" spans="1:6" x14ac:dyDescent="0.3">
      <c r="A83" s="1">
        <v>46063</v>
      </c>
      <c r="B83" t="s">
        <v>8</v>
      </c>
      <c r="C83" t="s">
        <v>9</v>
      </c>
      <c r="D83">
        <v>2</v>
      </c>
      <c r="E83">
        <v>500</v>
      </c>
      <c r="F83">
        <v>1000</v>
      </c>
    </row>
    <row r="84" spans="1:6" x14ac:dyDescent="0.3">
      <c r="A84" s="1">
        <v>46064</v>
      </c>
      <c r="B84" t="s">
        <v>10</v>
      </c>
      <c r="C84" t="s">
        <v>9</v>
      </c>
      <c r="D84">
        <v>3</v>
      </c>
      <c r="E84">
        <v>1000</v>
      </c>
      <c r="F84">
        <v>3000</v>
      </c>
    </row>
    <row r="85" spans="1:6" x14ac:dyDescent="0.3">
      <c r="A85" s="1">
        <v>46064</v>
      </c>
      <c r="B85" t="s">
        <v>11</v>
      </c>
      <c r="C85" t="s">
        <v>7</v>
      </c>
      <c r="D85">
        <v>4</v>
      </c>
      <c r="E85">
        <v>12000</v>
      </c>
      <c r="F85">
        <v>48000</v>
      </c>
    </row>
    <row r="86" spans="1:6" x14ac:dyDescent="0.3">
      <c r="A86" s="1">
        <v>46065</v>
      </c>
      <c r="B86" t="s">
        <v>12</v>
      </c>
      <c r="C86" t="s">
        <v>7</v>
      </c>
      <c r="D86">
        <v>5</v>
      </c>
      <c r="E86">
        <v>8000</v>
      </c>
      <c r="F86">
        <v>40000</v>
      </c>
    </row>
    <row r="87" spans="1:6" x14ac:dyDescent="0.3">
      <c r="A87" s="1">
        <v>46065</v>
      </c>
      <c r="B87" t="s">
        <v>13</v>
      </c>
      <c r="C87" t="s">
        <v>9</v>
      </c>
      <c r="D87">
        <v>6</v>
      </c>
      <c r="E87">
        <v>1500</v>
      </c>
      <c r="F87">
        <v>9000</v>
      </c>
    </row>
    <row r="88" spans="1:6" x14ac:dyDescent="0.3">
      <c r="A88" s="1">
        <v>46066</v>
      </c>
      <c r="B88" t="s">
        <v>14</v>
      </c>
      <c r="C88" t="s">
        <v>9</v>
      </c>
      <c r="D88">
        <v>7</v>
      </c>
      <c r="E88">
        <v>2000</v>
      </c>
      <c r="F88">
        <v>14000</v>
      </c>
    </row>
    <row r="89" spans="1:6" x14ac:dyDescent="0.3">
      <c r="A89" s="1">
        <v>46066</v>
      </c>
      <c r="B89" t="s">
        <v>15</v>
      </c>
      <c r="C89" t="s">
        <v>9</v>
      </c>
      <c r="D89">
        <v>8</v>
      </c>
      <c r="E89">
        <v>3000</v>
      </c>
      <c r="F89">
        <v>24000</v>
      </c>
    </row>
    <row r="90" spans="1:6" x14ac:dyDescent="0.3">
      <c r="A90" s="1">
        <v>46067</v>
      </c>
      <c r="B90" t="s">
        <v>16</v>
      </c>
      <c r="C90" t="s">
        <v>7</v>
      </c>
      <c r="D90">
        <v>1</v>
      </c>
      <c r="E90">
        <v>4500</v>
      </c>
      <c r="F90">
        <v>4500</v>
      </c>
    </row>
    <row r="91" spans="1:6" x14ac:dyDescent="0.3">
      <c r="A91" s="1">
        <v>46067</v>
      </c>
      <c r="B91" t="s">
        <v>17</v>
      </c>
      <c r="C91" t="s">
        <v>7</v>
      </c>
      <c r="D91">
        <v>2</v>
      </c>
      <c r="E91">
        <v>2500</v>
      </c>
      <c r="F91">
        <v>5000</v>
      </c>
    </row>
    <row r="92" spans="1:6" x14ac:dyDescent="0.3">
      <c r="A92" s="1">
        <v>46068</v>
      </c>
      <c r="B92" t="s">
        <v>6</v>
      </c>
      <c r="C92" t="s">
        <v>7</v>
      </c>
      <c r="D92">
        <v>3</v>
      </c>
      <c r="E92">
        <v>50000</v>
      </c>
      <c r="F92">
        <v>150000</v>
      </c>
    </row>
    <row r="93" spans="1:6" x14ac:dyDescent="0.3">
      <c r="A93" s="1">
        <v>46068</v>
      </c>
      <c r="B93" t="s">
        <v>8</v>
      </c>
      <c r="C93" t="s">
        <v>9</v>
      </c>
      <c r="D93">
        <v>4</v>
      </c>
      <c r="E93">
        <v>500</v>
      </c>
      <c r="F93">
        <v>2000</v>
      </c>
    </row>
    <row r="94" spans="1:6" x14ac:dyDescent="0.3">
      <c r="A94" s="1">
        <v>46069</v>
      </c>
      <c r="B94" t="s">
        <v>10</v>
      </c>
      <c r="C94" t="s">
        <v>9</v>
      </c>
      <c r="D94">
        <v>5</v>
      </c>
      <c r="E94">
        <v>1000</v>
      </c>
      <c r="F94">
        <v>5000</v>
      </c>
    </row>
    <row r="95" spans="1:6" x14ac:dyDescent="0.3">
      <c r="A95" s="1">
        <v>46069</v>
      </c>
      <c r="B95" t="s">
        <v>11</v>
      </c>
      <c r="C95" t="s">
        <v>7</v>
      </c>
      <c r="D95">
        <v>6</v>
      </c>
      <c r="E95">
        <v>12000</v>
      </c>
      <c r="F95">
        <v>72000</v>
      </c>
    </row>
    <row r="96" spans="1:6" x14ac:dyDescent="0.3">
      <c r="A96" s="1">
        <v>46070</v>
      </c>
      <c r="B96" t="s">
        <v>12</v>
      </c>
      <c r="C96" t="s">
        <v>7</v>
      </c>
      <c r="D96">
        <v>7</v>
      </c>
      <c r="E96">
        <v>8000</v>
      </c>
      <c r="F96">
        <v>56000</v>
      </c>
    </row>
    <row r="97" spans="1:6" x14ac:dyDescent="0.3">
      <c r="A97" s="1">
        <v>46070</v>
      </c>
      <c r="B97" t="s">
        <v>13</v>
      </c>
      <c r="C97" t="s">
        <v>9</v>
      </c>
      <c r="D97">
        <v>8</v>
      </c>
      <c r="E97">
        <v>1500</v>
      </c>
      <c r="F97">
        <v>12000</v>
      </c>
    </row>
    <row r="98" spans="1:6" x14ac:dyDescent="0.3">
      <c r="A98" s="1">
        <v>46071</v>
      </c>
      <c r="B98" t="s">
        <v>14</v>
      </c>
      <c r="C98" t="s">
        <v>9</v>
      </c>
      <c r="D98">
        <v>1</v>
      </c>
      <c r="E98">
        <v>2000</v>
      </c>
      <c r="F98">
        <v>2000</v>
      </c>
    </row>
    <row r="99" spans="1:6" x14ac:dyDescent="0.3">
      <c r="A99" s="1">
        <v>46071</v>
      </c>
      <c r="B99" t="s">
        <v>15</v>
      </c>
      <c r="C99" t="s">
        <v>9</v>
      </c>
      <c r="D99">
        <v>2</v>
      </c>
      <c r="E99">
        <v>3000</v>
      </c>
      <c r="F99">
        <v>6000</v>
      </c>
    </row>
    <row r="100" spans="1:6" x14ac:dyDescent="0.3">
      <c r="A100" s="1">
        <v>46072</v>
      </c>
      <c r="B100" t="s">
        <v>16</v>
      </c>
      <c r="C100" t="s">
        <v>7</v>
      </c>
      <c r="D100">
        <v>3</v>
      </c>
      <c r="E100">
        <v>4500</v>
      </c>
      <c r="F100">
        <v>13500</v>
      </c>
    </row>
    <row r="101" spans="1:6" x14ac:dyDescent="0.3">
      <c r="A101" s="1">
        <v>46072</v>
      </c>
      <c r="B101" t="s">
        <v>17</v>
      </c>
      <c r="C101" t="s">
        <v>7</v>
      </c>
      <c r="D101">
        <v>4</v>
      </c>
      <c r="E101">
        <v>2500</v>
      </c>
      <c r="F101">
        <v>10000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C6077-43BB-490F-9F13-CB06297796FB}">
  <dimension ref="A3:B26"/>
  <sheetViews>
    <sheetView tabSelected="1" workbookViewId="0">
      <selection activeCell="E25" sqref="E25"/>
    </sheetView>
  </sheetViews>
  <sheetFormatPr defaultRowHeight="14.4" x14ac:dyDescent="0.3"/>
  <cols>
    <col min="1" max="1" width="12.5546875" bestFit="1" customWidth="1"/>
    <col min="2" max="2" width="14.88671875" bestFit="1" customWidth="1"/>
  </cols>
  <sheetData>
    <row r="3" spans="1:2" x14ac:dyDescent="0.3">
      <c r="A3" s="2" t="s">
        <v>21</v>
      </c>
      <c r="B3" t="s">
        <v>25</v>
      </c>
    </row>
    <row r="4" spans="1:2" x14ac:dyDescent="0.3">
      <c r="A4" s="3" t="s">
        <v>23</v>
      </c>
      <c r="B4">
        <v>2218000</v>
      </c>
    </row>
    <row r="5" spans="1:2" x14ac:dyDescent="0.3">
      <c r="A5" s="3" t="s">
        <v>24</v>
      </c>
      <c r="B5">
        <v>1185000</v>
      </c>
    </row>
    <row r="6" spans="1:2" x14ac:dyDescent="0.3">
      <c r="A6" s="3" t="s">
        <v>22</v>
      </c>
      <c r="B6">
        <v>3403000</v>
      </c>
    </row>
    <row r="9" spans="1:2" x14ac:dyDescent="0.3">
      <c r="A9" s="2" t="s">
        <v>21</v>
      </c>
      <c r="B9" t="s">
        <v>25</v>
      </c>
    </row>
    <row r="10" spans="1:2" x14ac:dyDescent="0.3">
      <c r="A10" s="3" t="s">
        <v>13</v>
      </c>
      <c r="B10" s="4">
        <v>81000</v>
      </c>
    </row>
    <row r="11" spans="1:2" x14ac:dyDescent="0.3">
      <c r="A11" s="3" t="s">
        <v>10</v>
      </c>
      <c r="B11" s="4">
        <v>40000</v>
      </c>
    </row>
    <row r="12" spans="1:2" x14ac:dyDescent="0.3">
      <c r="A12" s="3" t="s">
        <v>6</v>
      </c>
      <c r="B12" s="4">
        <v>1800000</v>
      </c>
    </row>
    <row r="13" spans="1:2" x14ac:dyDescent="0.3">
      <c r="A13" s="3" t="s">
        <v>11</v>
      </c>
      <c r="B13" s="4">
        <v>600000</v>
      </c>
    </row>
    <row r="14" spans="1:2" x14ac:dyDescent="0.3">
      <c r="A14" s="3" t="s">
        <v>8</v>
      </c>
      <c r="B14" s="4">
        <v>23000</v>
      </c>
    </row>
    <row r="15" spans="1:2" x14ac:dyDescent="0.3">
      <c r="A15" s="3" t="s">
        <v>12</v>
      </c>
      <c r="B15" s="4">
        <v>352000</v>
      </c>
    </row>
    <row r="16" spans="1:2" x14ac:dyDescent="0.3">
      <c r="A16" s="3" t="s">
        <v>17</v>
      </c>
      <c r="B16" s="4">
        <v>115000</v>
      </c>
    </row>
    <row r="17" spans="1:2" x14ac:dyDescent="0.3">
      <c r="A17" s="3" t="s">
        <v>15</v>
      </c>
      <c r="B17" s="4">
        <v>150000</v>
      </c>
    </row>
    <row r="18" spans="1:2" x14ac:dyDescent="0.3">
      <c r="A18" s="3" t="s">
        <v>16</v>
      </c>
      <c r="B18" s="4">
        <v>162000</v>
      </c>
    </row>
    <row r="19" spans="1:2" x14ac:dyDescent="0.3">
      <c r="A19" s="3" t="s">
        <v>14</v>
      </c>
      <c r="B19" s="4">
        <v>80000</v>
      </c>
    </row>
    <row r="20" spans="1:2" x14ac:dyDescent="0.3">
      <c r="A20" s="3" t="s">
        <v>22</v>
      </c>
      <c r="B20" s="4">
        <v>3403000</v>
      </c>
    </row>
    <row r="23" spans="1:2" x14ac:dyDescent="0.3">
      <c r="A23" s="2" t="s">
        <v>21</v>
      </c>
      <c r="B23" t="s">
        <v>25</v>
      </c>
    </row>
    <row r="24" spans="1:2" x14ac:dyDescent="0.3">
      <c r="A24" s="3" t="s">
        <v>9</v>
      </c>
      <c r="B24">
        <v>374000</v>
      </c>
    </row>
    <row r="25" spans="1:2" x14ac:dyDescent="0.3">
      <c r="A25" s="3" t="s">
        <v>7</v>
      </c>
      <c r="B25">
        <v>3029000</v>
      </c>
    </row>
    <row r="26" spans="1:2" x14ac:dyDescent="0.3">
      <c r="A26" s="3" t="s">
        <v>22</v>
      </c>
      <c r="B26">
        <v>3403000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451F-3C88-42CC-ABAD-55DB8E63F240}">
  <dimension ref="A1:B37"/>
  <sheetViews>
    <sheetView workbookViewId="0">
      <selection activeCell="A37" sqref="A37:B37"/>
    </sheetView>
  </sheetViews>
  <sheetFormatPr defaultRowHeight="14.4" x14ac:dyDescent="0.3"/>
  <cols>
    <col min="2" max="2" width="9.109375" bestFit="1" customWidth="1"/>
  </cols>
  <sheetData>
    <row r="1" spans="1:2" x14ac:dyDescent="0.3">
      <c r="A1" t="s">
        <v>18</v>
      </c>
      <c r="B1">
        <f>SUM(Table1[Revenue])</f>
        <v>3403000</v>
      </c>
    </row>
    <row r="5" spans="1:2" x14ac:dyDescent="0.3">
      <c r="B5" s="1"/>
    </row>
    <row r="20" spans="1:2" x14ac:dyDescent="0.3">
      <c r="A20" t="s">
        <v>19</v>
      </c>
      <c r="B20">
        <f>SUM(Table1[Quantity])</f>
        <v>442</v>
      </c>
    </row>
    <row r="37" spans="1:2" x14ac:dyDescent="0.3">
      <c r="A37" t="s">
        <v>20</v>
      </c>
      <c r="B37">
        <f>COUNTA(Table1[Date])</f>
        <v>100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Sales_Revenue_Dataset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Rughnisree S.B</cp:lastModifiedBy>
  <dcterms:created xsi:type="dcterms:W3CDTF">2026-06-08T08:34:20Z</dcterms:created>
  <dcterms:modified xsi:type="dcterms:W3CDTF">2026-06-08T08:46:46Z</dcterms:modified>
</cp:coreProperties>
</file>